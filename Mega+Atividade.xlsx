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429\Desktop\Contabilidade\"/>
    </mc:Choice>
  </mc:AlternateContent>
  <xr:revisionPtr revIDLastSave="0" documentId="13_ncr:1_{0D4ACCF4-9126-42AA-A848-2AF6D52BACA4}" xr6:coauthVersionLast="47" xr6:coauthVersionMax="47" xr10:uidLastSave="{00000000-0000-0000-0000-000000000000}"/>
  <bookViews>
    <workbookView xWindow="-108" yWindow="-108" windowWidth="23256" windowHeight="12456" xr2:uid="{04B987CF-9447-470C-90D5-25BB11CD543D}"/>
  </bookViews>
  <sheets>
    <sheet name="Atividades" sheetId="2" r:id="rId1"/>
    <sheet name="Lançamentos" sheetId="5" r:id="rId2"/>
    <sheet name="ARE" sheetId="6" r:id="rId3"/>
    <sheet name="Balanço Patrimonial" sheetId="3" r:id="rId4"/>
    <sheet name="Demonstração do Resultad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3" l="1"/>
  <c r="D10" i="4"/>
  <c r="D7" i="4"/>
  <c r="D5" i="4"/>
  <c r="F13" i="6"/>
  <c r="G18" i="6"/>
  <c r="H58" i="5"/>
  <c r="K48" i="5"/>
  <c r="H48" i="5"/>
  <c r="K38" i="5"/>
  <c r="H38" i="5"/>
  <c r="I22" i="5"/>
  <c r="I10" i="5"/>
  <c r="D22" i="5"/>
  <c r="B22" i="5"/>
  <c r="D10" i="5"/>
  <c r="A10" i="5"/>
  <c r="B38" i="5"/>
  <c r="D16" i="3"/>
</calcChain>
</file>

<file path=xl/sharedStrings.xml><?xml version="1.0" encoding="utf-8"?>
<sst xmlns="http://schemas.openxmlformats.org/spreadsheetml/2006/main" count="65" uniqueCount="58">
  <si>
    <r>
      <rPr>
        <b/>
        <sz val="11"/>
        <color theme="1"/>
        <rFont val="Calibri"/>
        <family val="2"/>
        <scheme val="minor"/>
      </rPr>
      <t>Razão Social:</t>
    </r>
    <r>
      <rPr>
        <sz val="11"/>
        <color theme="1"/>
        <rFont val="Calibri"/>
        <family val="2"/>
        <scheme val="minor"/>
      </rPr>
      <t xml:space="preserve"> Gorden e Barcellos Ltda               </t>
    </r>
    <r>
      <rPr>
        <b/>
        <sz val="11"/>
        <color theme="1"/>
        <rFont val="Calibri"/>
        <family val="2"/>
        <scheme val="minor"/>
      </rPr>
      <t>Nome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Fantasia: </t>
    </r>
    <r>
      <rPr>
        <sz val="11"/>
        <color theme="1"/>
        <rFont val="Calibri"/>
        <family val="2"/>
        <scheme val="minor"/>
      </rPr>
      <t xml:space="preserve">Allffa Treinamentos            </t>
    </r>
    <r>
      <rPr>
        <b/>
        <sz val="11"/>
        <color theme="1"/>
        <rFont val="Calibri"/>
        <family val="2"/>
        <scheme val="minor"/>
      </rPr>
      <t>CNPJ:</t>
    </r>
    <r>
      <rPr>
        <sz val="11"/>
        <color theme="1"/>
        <rFont val="Calibri"/>
        <family val="2"/>
        <scheme val="minor"/>
      </rPr>
      <t xml:space="preserve"> 11.111.111/0001-11              </t>
    </r>
    <r>
      <rPr>
        <b/>
        <sz val="11"/>
        <color theme="1"/>
        <rFont val="Calibri"/>
        <family val="2"/>
        <scheme val="minor"/>
      </rPr>
      <t>Abertura:</t>
    </r>
    <r>
      <rPr>
        <sz val="11"/>
        <color theme="1"/>
        <rFont val="Calibri"/>
        <family val="2"/>
        <scheme val="minor"/>
      </rPr>
      <t xml:space="preserve"> 01/03/2021</t>
    </r>
  </si>
  <si>
    <r>
      <rPr>
        <b/>
        <sz val="11"/>
        <color theme="1"/>
        <rFont val="Calibri"/>
        <family val="2"/>
        <scheme val="minor"/>
      </rPr>
      <t>Área de atuação:</t>
    </r>
    <r>
      <rPr>
        <sz val="11"/>
        <color theme="1"/>
        <rFont val="Calibri"/>
        <family val="2"/>
        <scheme val="minor"/>
      </rPr>
      <t xml:space="preserve"> Prestação de serviços                  </t>
    </r>
    <r>
      <rPr>
        <b/>
        <sz val="11"/>
        <color theme="1"/>
        <rFont val="Calibri"/>
        <family val="2"/>
        <scheme val="minor"/>
      </rPr>
      <t>Regime tributário:</t>
    </r>
    <r>
      <rPr>
        <sz val="11"/>
        <color theme="1"/>
        <rFont val="Calibri"/>
        <family val="2"/>
        <scheme val="minor"/>
      </rPr>
      <t xml:space="preserve"> Simples Nacional                </t>
    </r>
    <r>
      <rPr>
        <b/>
        <sz val="11"/>
        <color theme="1"/>
        <rFont val="Calibri"/>
        <family val="2"/>
        <scheme val="minor"/>
      </rPr>
      <t xml:space="preserve"> Anexo tributado:</t>
    </r>
    <r>
      <rPr>
        <sz val="11"/>
        <color theme="1"/>
        <rFont val="Calibri"/>
        <family val="2"/>
        <scheme val="minor"/>
      </rPr>
      <t xml:space="preserve"> Anexo III</t>
    </r>
  </si>
  <si>
    <r>
      <rPr>
        <b/>
        <sz val="11"/>
        <color theme="1"/>
        <rFont val="Calibri"/>
        <family val="2"/>
        <scheme val="minor"/>
      </rPr>
      <t xml:space="preserve">Natureza Jurídica: </t>
    </r>
    <r>
      <rPr>
        <sz val="11"/>
        <color theme="1"/>
        <rFont val="Calibri"/>
        <family val="2"/>
        <scheme val="minor"/>
      </rPr>
      <t xml:space="preserve">Sociedade Empresarial Limitada  </t>
    </r>
    <r>
      <rPr>
        <b/>
        <sz val="11"/>
        <color theme="1"/>
        <rFont val="Calibri"/>
        <family val="2"/>
        <scheme val="minor"/>
      </rPr>
      <t xml:space="preserve">Sócias: </t>
    </r>
    <r>
      <rPr>
        <sz val="11"/>
        <color theme="1"/>
        <rFont val="Calibri"/>
        <family val="2"/>
        <scheme val="minor"/>
      </rPr>
      <t xml:space="preserve">Luma Sol Vieira e Maria Silvia Vieira    </t>
    </r>
    <r>
      <rPr>
        <b/>
        <sz val="11"/>
        <color theme="1"/>
        <rFont val="Calibri"/>
        <family val="2"/>
        <scheme val="minor"/>
      </rPr>
      <t>Capital Social:</t>
    </r>
    <r>
      <rPr>
        <sz val="11"/>
        <color theme="1"/>
        <rFont val="Calibri"/>
        <family val="2"/>
        <scheme val="minor"/>
      </rPr>
      <t xml:space="preserve"> 50.000,00 (50% de cada)   </t>
    </r>
    <r>
      <rPr>
        <b/>
        <sz val="11"/>
        <color theme="1"/>
        <rFont val="Calibri"/>
        <family val="2"/>
        <scheme val="minor"/>
      </rPr>
      <t>Banco:</t>
    </r>
    <r>
      <rPr>
        <sz val="11"/>
        <color theme="1"/>
        <rFont val="Calibri"/>
        <family val="2"/>
        <scheme val="minor"/>
      </rPr>
      <t xml:space="preserve"> Beta S.A.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</si>
  <si>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Em 01/03/2021 as sócias integralizaram no Banco Beta S.A. R$ 50.000,00 de capital, sendo R$ 25.000,00 correspondente a 50% de quota de cada sócia.</t>
    </r>
  </si>
  <si>
    <r>
      <rPr>
        <b/>
        <sz val="11"/>
        <color theme="1"/>
        <rFont val="Calibri"/>
        <family val="2"/>
        <scheme val="minor"/>
      </rPr>
      <t xml:space="preserve">2) </t>
    </r>
    <r>
      <rPr>
        <sz val="11"/>
        <color theme="1"/>
        <rFont val="Calibri"/>
        <family val="2"/>
        <scheme val="minor"/>
      </rPr>
      <t>Em 01/03/2021 as sócias adquiriram dois computadores da marca Dellta no valor total de R$ 6.000,00, do fornecedor Lojas Maga, à vista, via PIX, conforme Nfe 250.</t>
    </r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</si>
  <si>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Em 02/03/2021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Foi paga a despesa com internet, fornecedor Intelligence, valor R$ 350,00, pagamento à vista via PIX. Nfs 3158.</t>
    </r>
  </si>
  <si>
    <r>
      <rPr>
        <b/>
        <sz val="11"/>
        <color theme="1"/>
        <rFont val="Calibri"/>
        <family val="2"/>
        <scheme val="minor"/>
      </rPr>
      <t>5)</t>
    </r>
    <r>
      <rPr>
        <sz val="11"/>
        <color theme="1"/>
        <rFont val="Calibri"/>
        <family val="2"/>
        <scheme val="minor"/>
      </rPr>
      <t xml:space="preserve"> Em 08/03/2021 Houve o pagamento de despesas com mensalidade do Software de apresentação, fornecedor Lógus, pagamento do boleto, à vista, valor R$ 452,00. Nfs 420.</t>
    </r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</si>
  <si>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Em 05/03/2021 Houve a prestação de serviços de treinamentos da empresa Allffa, para o cliente Omega Business, valor R$ 4.500,00, cfe Nfs 0001, recebimento à vista via transferência bancária.</t>
    </r>
  </si>
  <si>
    <r>
      <rPr>
        <b/>
        <sz val="11"/>
        <color theme="1"/>
        <rFont val="Calibri"/>
        <family val="2"/>
        <scheme val="minor"/>
      </rPr>
      <t>6)</t>
    </r>
    <r>
      <rPr>
        <sz val="11"/>
        <color theme="1"/>
        <rFont val="Calibri"/>
        <family val="2"/>
        <scheme val="minor"/>
      </rPr>
      <t xml:space="preserve"> Em 12/03/2021 Houve a prestação de serviços de treinamentos da empresa Allffa para a cliente Lux Business, valor R$ 3.450,00, pagamento à prazo, vencimento 05/04/2021. Nfs 0002.</t>
    </r>
  </si>
  <si>
    <t>Movimentações:</t>
  </si>
  <si>
    <t>Atividade:</t>
  </si>
  <si>
    <t>Ativo</t>
  </si>
  <si>
    <t>Passivo</t>
  </si>
  <si>
    <t>Resultado Negativo (Custos e despesas)</t>
  </si>
  <si>
    <t>Resultado Positivo (Receitas)</t>
  </si>
  <si>
    <t>Patrimônio Líquido</t>
  </si>
  <si>
    <t>Ativo Circulante</t>
  </si>
  <si>
    <t>Caixa</t>
  </si>
  <si>
    <t>Bancos</t>
  </si>
  <si>
    <t>Aplicações Financeira</t>
  </si>
  <si>
    <t>Clientes a receber</t>
  </si>
  <si>
    <t>Ativo Não Circulante</t>
  </si>
  <si>
    <t>Ativo Imobilizado</t>
  </si>
  <si>
    <t>Total Ativo</t>
  </si>
  <si>
    <t>Passivo Circulante</t>
  </si>
  <si>
    <t>Fornecedores</t>
  </si>
  <si>
    <t>Passivo Não Circulante</t>
  </si>
  <si>
    <t>Capital Social Integralizado</t>
  </si>
  <si>
    <t xml:space="preserve">Total Passivo </t>
  </si>
  <si>
    <t>Computadores e Periféricos</t>
  </si>
  <si>
    <t>Balanço Patrimonial - Gorden e Barcellos Ltda   (Março/2021)</t>
  </si>
  <si>
    <t>Lucro líquido acumulado 2021</t>
  </si>
  <si>
    <t>DRE - Gorden e Barcellos Ltda   (Março/2021)</t>
  </si>
  <si>
    <t>Receita Operacional Bruta</t>
  </si>
  <si>
    <t>(-) Deduções sobre receitas (Impostos, Abatimentos...)</t>
  </si>
  <si>
    <t>(-) Custos com serviços prestados</t>
  </si>
  <si>
    <t>(=) Lucro Bruto</t>
  </si>
  <si>
    <t>(-) Despesas Operacionais (Administrativas, Com vendas, Gerais)</t>
  </si>
  <si>
    <t>(+/-) Receitas e Despesas Financeiras</t>
  </si>
  <si>
    <t>(=) Lucro Líquido</t>
  </si>
  <si>
    <t>APURAÇÃO DO RESULTADO (ARE)</t>
  </si>
  <si>
    <r>
      <rPr>
        <b/>
        <sz val="11"/>
        <color theme="1"/>
        <rFont val="Calibri"/>
        <family val="2"/>
        <scheme val="minor"/>
      </rPr>
      <t>7)</t>
    </r>
    <r>
      <rPr>
        <sz val="11"/>
        <color theme="1"/>
        <rFont val="Calibri"/>
        <family val="2"/>
        <scheme val="minor"/>
      </rPr>
      <t xml:space="preserve"> Em 31/03/2021 O Banco Beta S.A. descontou R$ 150,00 de taxa bancária, referência à despesa bancária de março/2021.</t>
    </r>
  </si>
  <si>
    <t xml:space="preserve">Banco Beta S.A. </t>
  </si>
  <si>
    <t>(-) Depreciação Acum. Computadores e Perif.</t>
  </si>
  <si>
    <t xml:space="preserve"> Estamos em abril/2021, precisamos fazer a contabilidade de Março/2021 da Allffa Treinamentos, é necessário calcular o imposto, a depreciação dos computadores e registrar na contabilidade assim como demais movimentações mencionadas acima. Após a escrituração contábil, fazer a apuração do resultado e elaborar as demonstrações contábeis da empresa (BP e DR).</t>
  </si>
  <si>
    <t>Dados primários (fictícios)</t>
  </si>
  <si>
    <t>Banco Beta S.A.</t>
  </si>
  <si>
    <t>Despesa com Internet</t>
  </si>
  <si>
    <t>Receitas com serviços</t>
  </si>
  <si>
    <t>Despesa com software</t>
  </si>
  <si>
    <t>Despesa Bancária</t>
  </si>
  <si>
    <t>Simples Nacional</t>
  </si>
  <si>
    <t>Simples Nacional a recolher</t>
  </si>
  <si>
    <t>Depreciação</t>
  </si>
  <si>
    <t>(-) Depreciação Acum. Comp. Perif.</t>
  </si>
  <si>
    <t>Lucro</t>
  </si>
  <si>
    <t>Lucro do exercício 2021</t>
  </si>
  <si>
    <t>(=) Receita Operacional Líquida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</si>
</sst>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44" fontId="0" fillId="0" borderId="4" xfId="1" applyFont="1" applyBorder="1"/>
    <xf numFmtId="44" fontId="0" fillId="0" borderId="0" xfId="1" applyFont="1"/>
    <xf numFmtId="44" fontId="0" fillId="0" borderId="5" xfId="1" applyFont="1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0" xfId="0" applyBorder="1"/>
    <xf numFmtId="44" fontId="0" fillId="0" borderId="1" xfId="1" applyFont="1" applyBorder="1"/>
    <xf numFmtId="0" fontId="2" fillId="0" borderId="1" xfId="0" applyFont="1" applyBorder="1"/>
    <xf numFmtId="44" fontId="2" fillId="0" borderId="1" xfId="0" applyNumberFormat="1" applyFont="1" applyBorder="1"/>
    <xf numFmtId="44" fontId="2" fillId="0" borderId="1" xfId="1" applyFont="1" applyBorder="1"/>
    <xf numFmtId="44" fontId="2" fillId="0" borderId="1" xfId="1" applyFont="1" applyBorder="1" applyAlignment="1"/>
    <xf numFmtId="0" fontId="2" fillId="0" borderId="0" xfId="0" applyFont="1" applyBorder="1"/>
    <xf numFmtId="44" fontId="2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4" fontId="2" fillId="0" borderId="5" xfId="1" applyFont="1" applyBorder="1"/>
    <xf numFmtId="44" fontId="2" fillId="0" borderId="2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8B86-3EC3-4DC9-B701-AF0B35D3477D}">
  <dimension ref="A1:I19"/>
  <sheetViews>
    <sheetView showGridLines="0" tabSelected="1" zoomScale="124" zoomScaleNormal="124" workbookViewId="0">
      <selection activeCell="A7" sqref="A7:I13"/>
    </sheetView>
  </sheetViews>
  <sheetFormatPr defaultRowHeight="14.4" x14ac:dyDescent="0.3"/>
  <cols>
    <col min="1" max="8" width="14" customWidth="1"/>
    <col min="9" max="9" width="48" customWidth="1"/>
  </cols>
  <sheetData>
    <row r="1" spans="1:9" ht="18" x14ac:dyDescent="0.35">
      <c r="A1" s="25" t="s">
        <v>45</v>
      </c>
      <c r="B1" s="25"/>
      <c r="C1" s="25"/>
      <c r="D1" s="25"/>
      <c r="E1" s="25"/>
      <c r="F1" s="25"/>
      <c r="G1" s="25"/>
      <c r="H1" s="25"/>
      <c r="I1" s="25"/>
    </row>
    <row r="2" spans="1:9" x14ac:dyDescent="0.3">
      <c r="A2" s="24" t="s">
        <v>0</v>
      </c>
      <c r="B2" s="24"/>
      <c r="C2" s="24"/>
      <c r="D2" s="24"/>
      <c r="E2" s="24"/>
      <c r="F2" s="24"/>
      <c r="G2" s="24"/>
      <c r="H2" s="24"/>
      <c r="I2" s="24"/>
    </row>
    <row r="3" spans="1:9" x14ac:dyDescent="0.3">
      <c r="A3" s="24" t="s">
        <v>1</v>
      </c>
      <c r="B3" s="24"/>
      <c r="C3" s="24"/>
      <c r="D3" s="24"/>
      <c r="E3" s="24"/>
      <c r="F3" s="24"/>
      <c r="G3" s="24"/>
      <c r="H3" s="24"/>
      <c r="I3" s="24"/>
    </row>
    <row r="4" spans="1:9" x14ac:dyDescent="0.3">
      <c r="A4" s="24" t="s">
        <v>2</v>
      </c>
      <c r="B4" s="24"/>
      <c r="C4" s="24"/>
      <c r="D4" s="24"/>
      <c r="E4" s="24"/>
      <c r="F4" s="24"/>
      <c r="G4" s="24"/>
      <c r="H4" s="24"/>
      <c r="I4" s="24"/>
    </row>
    <row r="6" spans="1:9" ht="15.6" x14ac:dyDescent="0.3">
      <c r="A6" s="21" t="s">
        <v>9</v>
      </c>
      <c r="B6" s="22"/>
      <c r="C6" s="22"/>
      <c r="D6" s="22"/>
      <c r="E6" s="22"/>
      <c r="F6" s="22"/>
      <c r="G6" s="22"/>
      <c r="H6" s="22"/>
      <c r="I6" s="22"/>
    </row>
    <row r="7" spans="1:9" x14ac:dyDescent="0.3">
      <c r="A7" s="23" t="s">
        <v>3</v>
      </c>
      <c r="B7" s="23"/>
      <c r="C7" s="23"/>
      <c r="D7" s="23"/>
      <c r="E7" s="23"/>
      <c r="F7" s="23"/>
      <c r="G7" s="23"/>
      <c r="H7" s="23"/>
      <c r="I7" s="23"/>
    </row>
    <row r="8" spans="1:9" x14ac:dyDescent="0.3">
      <c r="A8" s="23" t="s">
        <v>4</v>
      </c>
      <c r="B8" s="23"/>
      <c r="C8" s="23"/>
      <c r="D8" s="23"/>
      <c r="E8" s="23"/>
      <c r="F8" s="23"/>
      <c r="G8" s="23"/>
      <c r="H8" s="23"/>
      <c r="I8" s="23"/>
    </row>
    <row r="9" spans="1:9" x14ac:dyDescent="0.3">
      <c r="A9" s="23" t="s">
        <v>5</v>
      </c>
      <c r="B9" s="23"/>
      <c r="C9" s="23"/>
      <c r="D9" s="23"/>
      <c r="E9" s="23"/>
      <c r="F9" s="23"/>
      <c r="G9" s="23"/>
      <c r="H9" s="23"/>
      <c r="I9" s="23"/>
    </row>
    <row r="10" spans="1:9" x14ac:dyDescent="0.3">
      <c r="A10" s="23" t="s">
        <v>7</v>
      </c>
      <c r="B10" s="23"/>
      <c r="C10" s="23"/>
      <c r="D10" s="23"/>
      <c r="E10" s="23"/>
      <c r="F10" s="23"/>
      <c r="G10" s="23"/>
      <c r="H10" s="23"/>
      <c r="I10" s="23"/>
    </row>
    <row r="11" spans="1:9" x14ac:dyDescent="0.3">
      <c r="A11" s="23" t="s">
        <v>6</v>
      </c>
      <c r="B11" s="23"/>
      <c r="C11" s="23"/>
      <c r="D11" s="23"/>
      <c r="E11" s="23"/>
      <c r="F11" s="23"/>
      <c r="G11" s="23"/>
      <c r="H11" s="23"/>
      <c r="I11" s="23"/>
    </row>
    <row r="12" spans="1:9" x14ac:dyDescent="0.3">
      <c r="A12" s="23" t="s">
        <v>8</v>
      </c>
      <c r="B12" s="23"/>
      <c r="C12" s="23"/>
      <c r="D12" s="23"/>
      <c r="E12" s="23"/>
      <c r="F12" s="23"/>
      <c r="G12" s="23"/>
      <c r="H12" s="23"/>
      <c r="I12" s="23"/>
    </row>
    <row r="13" spans="1:9" x14ac:dyDescent="0.3">
      <c r="A13" s="23" t="s">
        <v>41</v>
      </c>
      <c r="B13" s="23"/>
      <c r="C13" s="23"/>
      <c r="D13" s="23"/>
      <c r="E13" s="23"/>
      <c r="F13" s="23"/>
      <c r="G13" s="23"/>
      <c r="H13" s="23"/>
      <c r="I13" s="23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ht="15.6" x14ac:dyDescent="0.3">
      <c r="A15" s="21" t="s">
        <v>10</v>
      </c>
      <c r="B15" s="22"/>
      <c r="C15" s="22"/>
      <c r="D15" s="22"/>
      <c r="E15" s="22"/>
      <c r="F15" s="22"/>
      <c r="G15" s="22"/>
      <c r="H15" s="22"/>
      <c r="I15" s="22"/>
    </row>
    <row r="16" spans="1:9" ht="42.6" customHeight="1" x14ac:dyDescent="0.3">
      <c r="A16" s="19" t="s">
        <v>44</v>
      </c>
      <c r="B16" s="19"/>
      <c r="C16" s="19"/>
      <c r="D16" s="19"/>
      <c r="E16" s="19"/>
      <c r="F16" s="19"/>
      <c r="G16" s="19"/>
      <c r="H16" s="19"/>
      <c r="I16" s="19"/>
    </row>
    <row r="17" spans="1:9" x14ac:dyDescent="0.3">
      <c r="A17" s="20"/>
      <c r="B17" s="20"/>
      <c r="C17" s="20"/>
      <c r="D17" s="20"/>
      <c r="E17" s="20"/>
      <c r="F17" s="20"/>
      <c r="G17" s="20"/>
      <c r="H17" s="20"/>
      <c r="I17" s="20"/>
    </row>
    <row r="18" spans="1:9" x14ac:dyDescent="0.3">
      <c r="A18" s="20"/>
      <c r="B18" s="20"/>
      <c r="C18" s="20"/>
      <c r="D18" s="20"/>
      <c r="E18" s="20"/>
      <c r="F18" s="20"/>
      <c r="G18" s="20"/>
      <c r="H18" s="20"/>
      <c r="I18" s="20"/>
    </row>
    <row r="19" spans="1:9" x14ac:dyDescent="0.3">
      <c r="A19" s="20"/>
      <c r="B19" s="20"/>
      <c r="C19" s="20"/>
      <c r="D19" s="20"/>
      <c r="E19" s="20"/>
      <c r="F19" s="20"/>
      <c r="G19" s="20"/>
      <c r="H19" s="20"/>
      <c r="I19" s="20"/>
    </row>
  </sheetData>
  <mergeCells count="17">
    <mergeCell ref="A2:I2"/>
    <mergeCell ref="A3:I3"/>
    <mergeCell ref="A4:I4"/>
    <mergeCell ref="A1:I1"/>
    <mergeCell ref="A7:I7"/>
    <mergeCell ref="A16:I16"/>
    <mergeCell ref="A17:I17"/>
    <mergeCell ref="A18:I18"/>
    <mergeCell ref="A19:I19"/>
    <mergeCell ref="A6:I6"/>
    <mergeCell ref="A9:I9"/>
    <mergeCell ref="A10:I10"/>
    <mergeCell ref="A11:I11"/>
    <mergeCell ref="A12:I12"/>
    <mergeCell ref="A13:I13"/>
    <mergeCell ref="A15:I15"/>
    <mergeCell ref="A8:I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CDA8-D058-48D0-8CE5-CE957713B802}">
  <dimension ref="A1:M58"/>
  <sheetViews>
    <sheetView workbookViewId="0">
      <selection activeCell="L16" sqref="L16"/>
    </sheetView>
  </sheetViews>
  <sheetFormatPr defaultRowHeight="14.4" x14ac:dyDescent="0.3"/>
  <cols>
    <col min="1" max="2" width="14.21875" customWidth="1"/>
    <col min="4" max="5" width="14.109375" customWidth="1"/>
    <col min="8" max="12" width="14.21875" customWidth="1"/>
  </cols>
  <sheetData>
    <row r="1" spans="1:12" ht="15.6" x14ac:dyDescent="0.3">
      <c r="A1" s="9" t="s">
        <v>11</v>
      </c>
      <c r="F1" s="4"/>
      <c r="H1" s="9" t="s">
        <v>12</v>
      </c>
    </row>
    <row r="2" spans="1:12" x14ac:dyDescent="0.3">
      <c r="F2" s="4"/>
    </row>
    <row r="3" spans="1:12" x14ac:dyDescent="0.3">
      <c r="A3" s="26" t="s">
        <v>46</v>
      </c>
      <c r="B3" s="26"/>
      <c r="D3" s="26" t="s">
        <v>20</v>
      </c>
      <c r="E3" s="26"/>
      <c r="F3" s="4"/>
      <c r="H3" s="26" t="s">
        <v>52</v>
      </c>
      <c r="I3" s="26"/>
      <c r="K3" s="26"/>
      <c r="L3" s="26"/>
    </row>
    <row r="4" spans="1:12" x14ac:dyDescent="0.3">
      <c r="A4" s="5">
        <v>25000</v>
      </c>
      <c r="B4" s="6">
        <v>6000</v>
      </c>
      <c r="D4" s="5">
        <v>3450</v>
      </c>
      <c r="E4" s="6"/>
      <c r="F4" s="4"/>
      <c r="H4" s="5"/>
      <c r="I4" s="6">
        <v>477</v>
      </c>
      <c r="K4" s="5"/>
      <c r="L4" s="6"/>
    </row>
    <row r="5" spans="1:12" x14ac:dyDescent="0.3">
      <c r="A5" s="7">
        <v>25000</v>
      </c>
      <c r="B5" s="6">
        <v>350</v>
      </c>
      <c r="D5" s="7"/>
      <c r="E5" s="6"/>
      <c r="F5" s="4"/>
      <c r="H5" s="7"/>
      <c r="I5" s="6"/>
      <c r="K5" s="7"/>
      <c r="L5" s="6"/>
    </row>
    <row r="6" spans="1:12" x14ac:dyDescent="0.3">
      <c r="A6" s="7">
        <v>4500</v>
      </c>
      <c r="B6" s="6">
        <v>452</v>
      </c>
      <c r="D6" s="7"/>
      <c r="E6" s="6"/>
      <c r="F6" s="4"/>
      <c r="H6" s="7"/>
      <c r="I6" s="6"/>
      <c r="K6" s="7"/>
      <c r="L6" s="6"/>
    </row>
    <row r="7" spans="1:12" x14ac:dyDescent="0.3">
      <c r="A7" s="7"/>
      <c r="B7" s="6">
        <v>150</v>
      </c>
      <c r="D7" s="7"/>
      <c r="E7" s="6"/>
      <c r="F7" s="4"/>
      <c r="H7" s="7"/>
      <c r="I7" s="6"/>
      <c r="K7" s="7"/>
      <c r="L7" s="6"/>
    </row>
    <row r="8" spans="1:12" x14ac:dyDescent="0.3">
      <c r="A8" s="7"/>
      <c r="B8" s="6"/>
      <c r="D8" s="7"/>
      <c r="E8" s="6"/>
      <c r="F8" s="4"/>
      <c r="H8" s="7"/>
      <c r="I8" s="6"/>
      <c r="K8" s="7"/>
      <c r="L8" s="6"/>
    </row>
    <row r="9" spans="1:12" x14ac:dyDescent="0.3">
      <c r="A9" s="7"/>
      <c r="B9" s="6"/>
      <c r="D9" s="7"/>
      <c r="E9" s="6"/>
      <c r="F9" s="4"/>
      <c r="H9" s="7"/>
      <c r="I9" s="6"/>
      <c r="K9" s="7"/>
      <c r="L9" s="6"/>
    </row>
    <row r="10" spans="1:12" x14ac:dyDescent="0.3">
      <c r="A10" s="37">
        <f>A4+A5+A6-B4-B5-B6-B7</f>
        <v>47548</v>
      </c>
      <c r="B10" s="6"/>
      <c r="D10" s="37">
        <f>D4</f>
        <v>3450</v>
      </c>
      <c r="E10" s="6"/>
      <c r="F10" s="4"/>
      <c r="H10" s="7"/>
      <c r="I10" s="18">
        <f>I4</f>
        <v>477</v>
      </c>
      <c r="K10" s="7"/>
      <c r="L10" s="6"/>
    </row>
    <row r="11" spans="1:12" x14ac:dyDescent="0.3">
      <c r="F11" s="4"/>
    </row>
    <row r="12" spans="1:12" x14ac:dyDescent="0.3">
      <c r="F12" s="4"/>
    </row>
    <row r="13" spans="1:12" x14ac:dyDescent="0.3">
      <c r="F13" s="4"/>
      <c r="H13" s="8" t="s">
        <v>15</v>
      </c>
      <c r="I13" s="8"/>
    </row>
    <row r="14" spans="1:12" x14ac:dyDescent="0.3">
      <c r="F14" s="4"/>
    </row>
    <row r="15" spans="1:12" x14ac:dyDescent="0.3">
      <c r="A15" s="26" t="s">
        <v>54</v>
      </c>
      <c r="B15" s="26"/>
      <c r="D15" s="26" t="s">
        <v>29</v>
      </c>
      <c r="E15" s="26"/>
      <c r="F15" s="4"/>
      <c r="H15" s="26" t="s">
        <v>27</v>
      </c>
      <c r="I15" s="26"/>
      <c r="K15" s="26" t="s">
        <v>56</v>
      </c>
      <c r="L15" s="26"/>
    </row>
    <row r="16" spans="1:12" x14ac:dyDescent="0.3">
      <c r="A16" s="5"/>
      <c r="B16" s="6">
        <v>-100.2</v>
      </c>
      <c r="D16" s="5">
        <v>6000</v>
      </c>
      <c r="E16" s="6"/>
      <c r="F16" s="4"/>
      <c r="H16" s="5"/>
      <c r="I16" s="6">
        <v>25000</v>
      </c>
      <c r="K16" s="5"/>
      <c r="L16" s="6">
        <v>6420.8</v>
      </c>
    </row>
    <row r="17" spans="1:13" x14ac:dyDescent="0.3">
      <c r="A17" s="7"/>
      <c r="B17" s="6"/>
      <c r="D17" s="7"/>
      <c r="E17" s="6"/>
      <c r="F17" s="4"/>
      <c r="H17" s="7"/>
      <c r="I17" s="6">
        <v>25000</v>
      </c>
      <c r="K17" s="7"/>
      <c r="L17" s="6"/>
    </row>
    <row r="18" spans="1:13" x14ac:dyDescent="0.3">
      <c r="A18" s="7"/>
      <c r="B18" s="6"/>
      <c r="D18" s="7"/>
      <c r="E18" s="6"/>
      <c r="F18" s="4"/>
      <c r="H18" s="7"/>
      <c r="I18" s="6"/>
      <c r="K18" s="7"/>
      <c r="L18" s="6"/>
    </row>
    <row r="19" spans="1:13" x14ac:dyDescent="0.3">
      <c r="A19" s="7"/>
      <c r="B19" s="6"/>
      <c r="D19" s="7"/>
      <c r="E19" s="6"/>
      <c r="F19" s="4"/>
      <c r="H19" s="7"/>
      <c r="I19" s="6"/>
      <c r="K19" s="7"/>
      <c r="L19" s="6"/>
    </row>
    <row r="20" spans="1:13" x14ac:dyDescent="0.3">
      <c r="A20" s="7"/>
      <c r="B20" s="6"/>
      <c r="D20" s="7"/>
      <c r="E20" s="6"/>
      <c r="F20" s="4"/>
      <c r="H20" s="7"/>
      <c r="I20" s="6"/>
      <c r="K20" s="7"/>
      <c r="L20" s="6"/>
    </row>
    <row r="21" spans="1:13" x14ac:dyDescent="0.3">
      <c r="A21" s="7"/>
      <c r="B21" s="6"/>
      <c r="D21" s="7"/>
      <c r="E21" s="6"/>
      <c r="F21" s="4"/>
      <c r="H21" s="7"/>
      <c r="I21" s="6"/>
      <c r="K21" s="7"/>
      <c r="L21" s="6"/>
    </row>
    <row r="22" spans="1:13" x14ac:dyDescent="0.3">
      <c r="A22" s="7"/>
      <c r="B22" s="18">
        <f>B16</f>
        <v>-100.2</v>
      </c>
      <c r="D22" s="37">
        <f>D16</f>
        <v>6000</v>
      </c>
      <c r="E22" s="6"/>
      <c r="F22" s="4"/>
      <c r="H22" s="7"/>
      <c r="I22" s="18">
        <f>I16+I17</f>
        <v>50000</v>
      </c>
      <c r="K22" s="7"/>
      <c r="L22" s="6"/>
    </row>
    <row r="23" spans="1:13" x14ac:dyDescent="0.3">
      <c r="F23" s="4"/>
    </row>
    <row r="24" spans="1:13" x14ac:dyDescent="0.3">
      <c r="F24" s="4"/>
    </row>
    <row r="25" spans="1:13" x14ac:dyDescent="0.3">
      <c r="F25" s="4"/>
    </row>
    <row r="26" spans="1:13" x14ac:dyDescent="0.3">
      <c r="F26" s="4"/>
    </row>
    <row r="27" spans="1:13" x14ac:dyDescent="0.3">
      <c r="A27" s="10"/>
      <c r="B27" s="10"/>
      <c r="C27" s="10"/>
      <c r="D27" s="10"/>
      <c r="E27" s="10"/>
      <c r="F27" s="3"/>
      <c r="G27" s="10"/>
      <c r="H27" s="10"/>
      <c r="I27" s="10"/>
      <c r="J27" s="10"/>
      <c r="K27" s="10"/>
      <c r="L27" s="10"/>
      <c r="M27" s="10"/>
    </row>
    <row r="28" spans="1:13" x14ac:dyDescent="0.3">
      <c r="A28" s="17" t="s">
        <v>14</v>
      </c>
      <c r="B28" s="17"/>
      <c r="C28" s="11"/>
      <c r="D28" s="11"/>
      <c r="E28" s="11"/>
      <c r="F28" s="4"/>
      <c r="G28" s="11"/>
      <c r="H28" s="17" t="s">
        <v>13</v>
      </c>
      <c r="I28" s="17"/>
      <c r="J28" s="17"/>
      <c r="K28" s="11"/>
      <c r="L28" s="11"/>
      <c r="M28" s="11"/>
    </row>
    <row r="29" spans="1:13" x14ac:dyDescent="0.3">
      <c r="A29" s="11"/>
      <c r="B29" s="11"/>
      <c r="C29" s="11"/>
      <c r="D29" s="11"/>
      <c r="E29" s="11"/>
      <c r="F29" s="4"/>
      <c r="G29" s="11"/>
      <c r="H29" s="11"/>
      <c r="I29" s="11"/>
      <c r="J29" s="11"/>
      <c r="K29" s="11"/>
      <c r="L29" s="11"/>
      <c r="M29" s="11"/>
    </row>
    <row r="30" spans="1:13" x14ac:dyDescent="0.3">
      <c r="A30" s="11"/>
      <c r="B30" s="11"/>
      <c r="C30" s="11"/>
      <c r="D30" s="11"/>
      <c r="E30" s="11"/>
      <c r="F30" s="4"/>
      <c r="G30" s="11"/>
      <c r="H30" s="11"/>
      <c r="I30" s="11"/>
      <c r="J30" s="11"/>
      <c r="K30" s="11"/>
      <c r="L30" s="11"/>
      <c r="M30" s="11"/>
    </row>
    <row r="31" spans="1:13" x14ac:dyDescent="0.3">
      <c r="A31" s="26" t="s">
        <v>48</v>
      </c>
      <c r="B31" s="26"/>
      <c r="D31" s="26"/>
      <c r="E31" s="26"/>
      <c r="F31" s="4"/>
      <c r="G31" s="11"/>
      <c r="H31" s="26" t="s">
        <v>47</v>
      </c>
      <c r="I31" s="26"/>
      <c r="K31" s="26" t="s">
        <v>49</v>
      </c>
      <c r="L31" s="26"/>
      <c r="M31" s="11"/>
    </row>
    <row r="32" spans="1:13" x14ac:dyDescent="0.3">
      <c r="A32" s="5"/>
      <c r="B32" s="6">
        <v>4500</v>
      </c>
      <c r="D32" s="5"/>
      <c r="E32" s="6"/>
      <c r="F32" s="4"/>
      <c r="H32" s="5">
        <v>350</v>
      </c>
      <c r="I32" s="6"/>
      <c r="K32" s="5">
        <v>452</v>
      </c>
      <c r="L32" s="6"/>
    </row>
    <row r="33" spans="1:12" x14ac:dyDescent="0.3">
      <c r="A33" s="7"/>
      <c r="B33" s="6">
        <v>3450</v>
      </c>
      <c r="D33" s="7"/>
      <c r="E33" s="6"/>
      <c r="F33" s="4"/>
      <c r="H33" s="7"/>
      <c r="I33" s="6"/>
      <c r="K33" s="7"/>
      <c r="L33" s="6"/>
    </row>
    <row r="34" spans="1:12" x14ac:dyDescent="0.3">
      <c r="A34" s="7"/>
      <c r="B34" s="6"/>
      <c r="D34" s="7"/>
      <c r="E34" s="6"/>
      <c r="F34" s="4"/>
      <c r="H34" s="7"/>
      <c r="I34" s="6"/>
      <c r="K34" s="7"/>
      <c r="L34" s="6"/>
    </row>
    <row r="35" spans="1:12" x14ac:dyDescent="0.3">
      <c r="A35" s="7"/>
      <c r="B35" s="6"/>
      <c r="D35" s="7"/>
      <c r="E35" s="6"/>
      <c r="F35" s="4"/>
      <c r="H35" s="7"/>
      <c r="I35" s="6"/>
      <c r="K35" s="7"/>
      <c r="L35" s="6"/>
    </row>
    <row r="36" spans="1:12" x14ac:dyDescent="0.3">
      <c r="A36" s="7"/>
      <c r="B36" s="6"/>
      <c r="D36" s="7"/>
      <c r="E36" s="6"/>
      <c r="F36" s="4"/>
      <c r="H36" s="7"/>
      <c r="I36" s="6"/>
      <c r="K36" s="7"/>
      <c r="L36" s="6"/>
    </row>
    <row r="37" spans="1:12" x14ac:dyDescent="0.3">
      <c r="A37" s="7"/>
      <c r="B37" s="6"/>
      <c r="D37" s="7"/>
      <c r="E37" s="6"/>
      <c r="F37" s="4"/>
      <c r="H37" s="7"/>
      <c r="I37" s="6"/>
      <c r="K37" s="7"/>
      <c r="L37" s="6"/>
    </row>
    <row r="38" spans="1:12" x14ac:dyDescent="0.3">
      <c r="A38" s="7">
        <v>7950</v>
      </c>
      <c r="B38" s="18">
        <f>SUM(B32:B37)</f>
        <v>7950</v>
      </c>
      <c r="D38" s="7"/>
      <c r="E38" s="6"/>
      <c r="F38" s="4"/>
      <c r="H38" s="37">
        <f>H32</f>
        <v>350</v>
      </c>
      <c r="I38" s="6">
        <v>350</v>
      </c>
      <c r="K38" s="37">
        <f>K32</f>
        <v>452</v>
      </c>
      <c r="L38" s="6">
        <v>452</v>
      </c>
    </row>
    <row r="39" spans="1:12" x14ac:dyDescent="0.3">
      <c r="F39" s="4"/>
    </row>
    <row r="40" spans="1:12" x14ac:dyDescent="0.3">
      <c r="F40" s="4"/>
    </row>
    <row r="41" spans="1:12" x14ac:dyDescent="0.3">
      <c r="F41" s="4"/>
      <c r="H41" s="26" t="s">
        <v>50</v>
      </c>
      <c r="I41" s="26"/>
      <c r="K41" s="26" t="s">
        <v>51</v>
      </c>
      <c r="L41" s="26"/>
    </row>
    <row r="42" spans="1:12" x14ac:dyDescent="0.3">
      <c r="F42" s="4"/>
      <c r="H42" s="5">
        <v>150</v>
      </c>
      <c r="I42" s="6"/>
      <c r="K42" s="5">
        <v>477</v>
      </c>
      <c r="L42" s="6"/>
    </row>
    <row r="43" spans="1:12" x14ac:dyDescent="0.3">
      <c r="F43" s="4"/>
      <c r="H43" s="7"/>
      <c r="I43" s="6"/>
      <c r="K43" s="7"/>
      <c r="L43" s="6"/>
    </row>
    <row r="44" spans="1:12" x14ac:dyDescent="0.3">
      <c r="F44" s="4"/>
      <c r="H44" s="7"/>
      <c r="I44" s="6"/>
      <c r="K44" s="7"/>
      <c r="L44" s="6"/>
    </row>
    <row r="45" spans="1:12" x14ac:dyDescent="0.3">
      <c r="F45" s="4"/>
      <c r="H45" s="7"/>
      <c r="I45" s="6"/>
      <c r="K45" s="7"/>
      <c r="L45" s="6"/>
    </row>
    <row r="46" spans="1:12" x14ac:dyDescent="0.3">
      <c r="F46" s="4"/>
      <c r="H46" s="7"/>
      <c r="I46" s="6"/>
      <c r="K46" s="7"/>
      <c r="L46" s="6"/>
    </row>
    <row r="47" spans="1:12" x14ac:dyDescent="0.3">
      <c r="F47" s="4"/>
      <c r="H47" s="7"/>
      <c r="I47" s="6"/>
      <c r="K47" s="7"/>
      <c r="L47" s="6"/>
    </row>
    <row r="48" spans="1:12" x14ac:dyDescent="0.3">
      <c r="F48" s="4"/>
      <c r="H48" s="37">
        <f>H42</f>
        <v>150</v>
      </c>
      <c r="I48" s="6">
        <v>150</v>
      </c>
      <c r="K48" s="37">
        <f>K42</f>
        <v>477</v>
      </c>
      <c r="L48" s="6">
        <v>477</v>
      </c>
    </row>
    <row r="49" spans="6:9" x14ac:dyDescent="0.3">
      <c r="F49" s="4"/>
    </row>
    <row r="50" spans="6:9" x14ac:dyDescent="0.3">
      <c r="F50" s="4"/>
    </row>
    <row r="51" spans="6:9" x14ac:dyDescent="0.3">
      <c r="H51" s="26" t="s">
        <v>53</v>
      </c>
      <c r="I51" s="26"/>
    </row>
    <row r="52" spans="6:9" x14ac:dyDescent="0.3">
      <c r="H52" s="5">
        <v>100.2</v>
      </c>
      <c r="I52" s="6"/>
    </row>
    <row r="53" spans="6:9" x14ac:dyDescent="0.3">
      <c r="H53" s="7"/>
      <c r="I53" s="6"/>
    </row>
    <row r="54" spans="6:9" x14ac:dyDescent="0.3">
      <c r="H54" s="7"/>
      <c r="I54" s="6"/>
    </row>
    <row r="55" spans="6:9" x14ac:dyDescent="0.3">
      <c r="H55" s="7"/>
      <c r="I55" s="6"/>
    </row>
    <row r="56" spans="6:9" x14ac:dyDescent="0.3">
      <c r="H56" s="7"/>
      <c r="I56" s="6"/>
    </row>
    <row r="57" spans="6:9" x14ac:dyDescent="0.3">
      <c r="H57" s="7"/>
      <c r="I57" s="6"/>
    </row>
    <row r="58" spans="6:9" x14ac:dyDescent="0.3">
      <c r="H58" s="37">
        <f>H52</f>
        <v>100.2</v>
      </c>
      <c r="I58" s="6">
        <v>100.2</v>
      </c>
    </row>
  </sheetData>
  <mergeCells count="15">
    <mergeCell ref="K3:L3"/>
    <mergeCell ref="H15:I15"/>
    <mergeCell ref="K15:L15"/>
    <mergeCell ref="H51:I51"/>
    <mergeCell ref="A3:B3"/>
    <mergeCell ref="D3:E3"/>
    <mergeCell ref="A15:B15"/>
    <mergeCell ref="D15:E15"/>
    <mergeCell ref="H3:I3"/>
    <mergeCell ref="H41:I41"/>
    <mergeCell ref="K41:L41"/>
    <mergeCell ref="A31:B31"/>
    <mergeCell ref="D31:E31"/>
    <mergeCell ref="H31:I31"/>
    <mergeCell ref="K31:L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D804-525B-4164-9688-2BA14AFAA966}">
  <dimension ref="F5:H18"/>
  <sheetViews>
    <sheetView showGridLines="0" workbookViewId="0">
      <selection activeCell="G18" sqref="G18"/>
    </sheetView>
  </sheetViews>
  <sheetFormatPr defaultRowHeight="14.4" x14ac:dyDescent="0.3"/>
  <cols>
    <col min="6" max="7" width="27.5546875" customWidth="1"/>
  </cols>
  <sheetData>
    <row r="5" spans="6:7" x14ac:dyDescent="0.3">
      <c r="F5" s="27" t="s">
        <v>40</v>
      </c>
      <c r="G5" s="27"/>
    </row>
    <row r="6" spans="6:7" x14ac:dyDescent="0.3">
      <c r="F6" s="5">
        <v>350</v>
      </c>
      <c r="G6" s="38">
        <v>7950</v>
      </c>
    </row>
    <row r="7" spans="6:7" x14ac:dyDescent="0.3">
      <c r="F7" s="7">
        <v>452</v>
      </c>
      <c r="G7" s="6"/>
    </row>
    <row r="8" spans="6:7" x14ac:dyDescent="0.3">
      <c r="F8" s="7">
        <v>150</v>
      </c>
      <c r="G8" s="6"/>
    </row>
    <row r="9" spans="6:7" x14ac:dyDescent="0.3">
      <c r="F9" s="7">
        <v>477</v>
      </c>
      <c r="G9" s="6"/>
    </row>
    <row r="10" spans="6:7" x14ac:dyDescent="0.3">
      <c r="F10" s="7">
        <v>100.2</v>
      </c>
      <c r="G10" s="6"/>
    </row>
    <row r="11" spans="6:7" x14ac:dyDescent="0.3">
      <c r="F11" s="7"/>
      <c r="G11" s="6"/>
    </row>
    <row r="12" spans="6:7" x14ac:dyDescent="0.3">
      <c r="F12" s="7"/>
      <c r="G12" s="6"/>
    </row>
    <row r="13" spans="6:7" x14ac:dyDescent="0.3">
      <c r="F13" s="37">
        <f>SUM(F6:F10)</f>
        <v>1529.2</v>
      </c>
      <c r="G13" s="6"/>
    </row>
    <row r="14" spans="6:7" x14ac:dyDescent="0.3">
      <c r="F14" s="7"/>
      <c r="G14" s="6"/>
    </row>
    <row r="15" spans="6:7" x14ac:dyDescent="0.3">
      <c r="F15" s="7"/>
      <c r="G15" s="6"/>
    </row>
    <row r="16" spans="6:7" x14ac:dyDescent="0.3">
      <c r="F16" s="7"/>
      <c r="G16" s="6"/>
    </row>
    <row r="17" spans="6:8" x14ac:dyDescent="0.3">
      <c r="F17" s="7"/>
      <c r="G17" s="6"/>
    </row>
    <row r="18" spans="6:8" x14ac:dyDescent="0.3">
      <c r="F18" s="7">
        <v>6420.8</v>
      </c>
      <c r="G18" s="6">
        <f>G6-F6-F7-F8-F9-F10</f>
        <v>6420.8</v>
      </c>
      <c r="H18" t="s">
        <v>55</v>
      </c>
    </row>
  </sheetData>
  <mergeCells count="1">
    <mergeCell ref="F5:G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1D8B-98B6-4C01-A4DC-E61F46FF6BB7}">
  <dimension ref="A1:D16"/>
  <sheetViews>
    <sheetView showGridLines="0" workbookViewId="0">
      <selection activeCell="B7" sqref="B7"/>
    </sheetView>
  </sheetViews>
  <sheetFormatPr defaultRowHeight="14.4" x14ac:dyDescent="0.3"/>
  <cols>
    <col min="1" max="1" width="38.44140625" bestFit="1" customWidth="1"/>
    <col min="2" max="2" width="17.5546875" customWidth="1"/>
    <col min="3" max="3" width="42.5546875" customWidth="1"/>
    <col min="4" max="4" width="15.77734375" customWidth="1"/>
  </cols>
  <sheetData>
    <row r="1" spans="1:4" ht="15.6" x14ac:dyDescent="0.3">
      <c r="A1" s="29" t="s">
        <v>30</v>
      </c>
      <c r="B1" s="29"/>
      <c r="C1" s="29"/>
      <c r="D1" s="29"/>
    </row>
    <row r="2" spans="1:4" x14ac:dyDescent="0.3">
      <c r="A2" s="30"/>
      <c r="B2" s="30"/>
      <c r="C2" s="30"/>
      <c r="D2" s="30"/>
    </row>
    <row r="3" spans="1:4" x14ac:dyDescent="0.3">
      <c r="A3" s="28" t="s">
        <v>11</v>
      </c>
      <c r="B3" s="28"/>
      <c r="C3" s="28" t="s">
        <v>12</v>
      </c>
      <c r="D3" s="28"/>
    </row>
    <row r="4" spans="1:4" x14ac:dyDescent="0.3">
      <c r="A4" s="13" t="s">
        <v>16</v>
      </c>
      <c r="B4" s="12"/>
      <c r="C4" s="13" t="s">
        <v>24</v>
      </c>
      <c r="D4" s="12"/>
    </row>
    <row r="5" spans="1:4" x14ac:dyDescent="0.3">
      <c r="A5" s="2" t="s">
        <v>17</v>
      </c>
      <c r="B5" s="12">
        <v>0</v>
      </c>
      <c r="C5" s="2" t="s">
        <v>25</v>
      </c>
      <c r="D5" s="12">
        <v>0</v>
      </c>
    </row>
    <row r="6" spans="1:4" x14ac:dyDescent="0.3">
      <c r="A6" s="13" t="s">
        <v>18</v>
      </c>
      <c r="B6" s="12"/>
      <c r="C6" s="2" t="s">
        <v>52</v>
      </c>
      <c r="D6" s="12">
        <v>477</v>
      </c>
    </row>
    <row r="7" spans="1:4" x14ac:dyDescent="0.3">
      <c r="A7" s="2" t="s">
        <v>42</v>
      </c>
      <c r="B7" s="12">
        <v>47548</v>
      </c>
      <c r="C7" s="2"/>
      <c r="D7" s="12"/>
    </row>
    <row r="8" spans="1:4" x14ac:dyDescent="0.3">
      <c r="A8" s="2" t="s">
        <v>19</v>
      </c>
      <c r="B8" s="12">
        <v>0</v>
      </c>
      <c r="C8" s="2"/>
      <c r="D8" s="12"/>
    </row>
    <row r="9" spans="1:4" x14ac:dyDescent="0.3">
      <c r="A9" s="2" t="s">
        <v>20</v>
      </c>
      <c r="B9" s="12">
        <v>3450</v>
      </c>
      <c r="C9" s="2"/>
      <c r="D9" s="12"/>
    </row>
    <row r="10" spans="1:4" x14ac:dyDescent="0.3">
      <c r="A10" s="2"/>
      <c r="B10" s="12"/>
      <c r="C10" s="2"/>
      <c r="D10" s="12"/>
    </row>
    <row r="11" spans="1:4" x14ac:dyDescent="0.3">
      <c r="A11" s="13" t="s">
        <v>21</v>
      </c>
      <c r="B11" s="12"/>
      <c r="C11" s="13" t="s">
        <v>26</v>
      </c>
      <c r="D11" s="12"/>
    </row>
    <row r="12" spans="1:4" x14ac:dyDescent="0.3">
      <c r="A12" s="2" t="s">
        <v>22</v>
      </c>
      <c r="B12" s="12"/>
      <c r="C12" s="2"/>
      <c r="D12" s="12"/>
    </row>
    <row r="13" spans="1:4" x14ac:dyDescent="0.3">
      <c r="A13" s="2" t="s">
        <v>29</v>
      </c>
      <c r="B13" s="12">
        <v>6000</v>
      </c>
      <c r="C13" s="13" t="s">
        <v>15</v>
      </c>
      <c r="D13" s="12"/>
    </row>
    <row r="14" spans="1:4" x14ac:dyDescent="0.3">
      <c r="A14" s="2" t="s">
        <v>43</v>
      </c>
      <c r="B14" s="12">
        <v>100.2</v>
      </c>
      <c r="C14" s="2" t="s">
        <v>27</v>
      </c>
      <c r="D14" s="12">
        <v>50000</v>
      </c>
    </row>
    <row r="15" spans="1:4" x14ac:dyDescent="0.3">
      <c r="A15" s="2"/>
      <c r="B15" s="12"/>
      <c r="C15" s="2" t="s">
        <v>31</v>
      </c>
      <c r="D15" s="12">
        <v>6420.8</v>
      </c>
    </row>
    <row r="16" spans="1:4" x14ac:dyDescent="0.3">
      <c r="A16" s="13" t="s">
        <v>23</v>
      </c>
      <c r="B16" s="14">
        <f>B7+B9+B13-B14</f>
        <v>56897.8</v>
      </c>
      <c r="C16" s="13" t="s">
        <v>28</v>
      </c>
      <c r="D16" s="15">
        <f>SUM(D4:D15)</f>
        <v>56897.8</v>
      </c>
    </row>
  </sheetData>
  <mergeCells count="4">
    <mergeCell ref="A3:B3"/>
    <mergeCell ref="C3:D3"/>
    <mergeCell ref="A1:D1"/>
    <mergeCell ref="A2:D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03EA-51C4-4AFE-9DF5-CEAE9A23CD58}">
  <dimension ref="A1:D10"/>
  <sheetViews>
    <sheetView showGridLines="0" workbookViewId="0">
      <selection activeCell="H17" sqref="H17"/>
    </sheetView>
  </sheetViews>
  <sheetFormatPr defaultRowHeight="14.4" x14ac:dyDescent="0.3"/>
  <cols>
    <col min="1" max="1" width="23.88671875" bestFit="1" customWidth="1"/>
    <col min="2" max="2" width="7.5546875" bestFit="1" customWidth="1"/>
    <col min="3" max="3" width="23.109375" customWidth="1"/>
    <col min="4" max="4" width="13.44140625" customWidth="1"/>
  </cols>
  <sheetData>
    <row r="1" spans="1:4" ht="15.6" x14ac:dyDescent="0.3">
      <c r="A1" s="29" t="s">
        <v>32</v>
      </c>
      <c r="B1" s="29"/>
      <c r="C1" s="29"/>
      <c r="D1" s="29"/>
    </row>
    <row r="2" spans="1:4" x14ac:dyDescent="0.3">
      <c r="A2" s="30"/>
      <c r="B2" s="30"/>
      <c r="C2" s="30"/>
      <c r="D2" s="30"/>
    </row>
    <row r="3" spans="1:4" x14ac:dyDescent="0.3">
      <c r="A3" s="31" t="s">
        <v>33</v>
      </c>
      <c r="B3" s="32"/>
      <c r="C3" s="33"/>
      <c r="D3" s="16">
        <v>7950</v>
      </c>
    </row>
    <row r="4" spans="1:4" x14ac:dyDescent="0.3">
      <c r="A4" s="31" t="s">
        <v>34</v>
      </c>
      <c r="B4" s="32"/>
      <c r="C4" s="33"/>
      <c r="D4" s="12">
        <v>477</v>
      </c>
    </row>
    <row r="5" spans="1:4" x14ac:dyDescent="0.3">
      <c r="A5" s="31" t="s">
        <v>57</v>
      </c>
      <c r="B5" s="32"/>
      <c r="C5" s="33"/>
      <c r="D5" s="15">
        <f>D3-D4</f>
        <v>7473</v>
      </c>
    </row>
    <row r="6" spans="1:4" x14ac:dyDescent="0.3">
      <c r="A6" s="31" t="s">
        <v>35</v>
      </c>
      <c r="B6" s="32"/>
      <c r="C6" s="33"/>
      <c r="D6" s="12">
        <v>0</v>
      </c>
    </row>
    <row r="7" spans="1:4" x14ac:dyDescent="0.3">
      <c r="A7" s="31" t="s">
        <v>36</v>
      </c>
      <c r="B7" s="32"/>
      <c r="C7" s="33"/>
      <c r="D7" s="15">
        <f>D5-D6</f>
        <v>7473</v>
      </c>
    </row>
    <row r="8" spans="1:4" x14ac:dyDescent="0.3">
      <c r="A8" s="34" t="s">
        <v>37</v>
      </c>
      <c r="B8" s="35"/>
      <c r="C8" s="36"/>
      <c r="D8" s="12">
        <v>902.2</v>
      </c>
    </row>
    <row r="9" spans="1:4" x14ac:dyDescent="0.3">
      <c r="A9" s="31" t="s">
        <v>38</v>
      </c>
      <c r="B9" s="32"/>
      <c r="C9" s="33"/>
      <c r="D9" s="12">
        <v>150</v>
      </c>
    </row>
    <row r="10" spans="1:4" x14ac:dyDescent="0.3">
      <c r="A10" s="31" t="s">
        <v>39</v>
      </c>
      <c r="B10" s="32"/>
      <c r="C10" s="33"/>
      <c r="D10" s="15">
        <f>D7-D8-D9</f>
        <v>6420.8</v>
      </c>
    </row>
  </sheetData>
  <mergeCells count="10">
    <mergeCell ref="A10:C10"/>
    <mergeCell ref="A1:D1"/>
    <mergeCell ref="A2:D2"/>
    <mergeCell ref="A3:C3"/>
    <mergeCell ref="A4:C4"/>
    <mergeCell ref="A5:C5"/>
    <mergeCell ref="A6:C6"/>
    <mergeCell ref="A7:C7"/>
    <mergeCell ref="A8:C8"/>
    <mergeCell ref="A9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Atividades</vt:lpstr>
      <vt:lpstr>Lançamentos</vt:lpstr>
      <vt:lpstr>ARE</vt:lpstr>
      <vt:lpstr>Balanço Patrimonial</vt:lpstr>
      <vt:lpstr>Demonstração do 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Ademir Círico Junior</dc:creator>
  <cp:lastModifiedBy>Rafael Galvão</cp:lastModifiedBy>
  <dcterms:created xsi:type="dcterms:W3CDTF">2022-04-10T18:01:57Z</dcterms:created>
  <dcterms:modified xsi:type="dcterms:W3CDTF">2022-04-12T17:11:45Z</dcterms:modified>
</cp:coreProperties>
</file>